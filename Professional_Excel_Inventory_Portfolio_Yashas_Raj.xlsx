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ventory Tracker" sheetId="2" state="visible" r:id="rId2"/>
    <sheet xmlns:r="http://schemas.openxmlformats.org/officeDocument/2006/relationships" name="Project Guide" sheetId="3" state="visible" r:id="rId3"/>
    <sheet xmlns:r="http://schemas.openxmlformats.org/officeDocument/2006/relationships" name="Purchase and Sales" sheetId="4" state="visible" r:id="rId4"/>
    <sheet xmlns:r="http://schemas.openxmlformats.org/officeDocument/2006/relationships" name="Suppliers" sheetId="5" state="visible" r:id="rId5"/>
  </sheets>
  <definedNames>
    <definedName name="_xlnm._FilterDatabase" localSheetId="1" hidden="1">'Inventory Tracker'!$A$1:$I$25</definedName>
    <definedName name="_xlnm._FilterDatabase" localSheetId="3" hidden="1">'Purchase and Sales'!$A$1:$H$13</definedName>
    <definedName name="_xlnm._FilterDatabase" localSheetId="4" hidden="1">'Suppliers'!$A$1:$F$9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'Dashboard'!$D$4:$D$7</f>
            </numRef>
          </cat>
          <val>
            <numRef>
              <f>'Dashboard'!$E$4:$E$7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'Dashboard'!$G$4:$G$5</f>
            </numRef>
          </cat>
          <val>
            <numRef>
              <f>'Dashboard'!$H$4:$H$5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10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4" max="4"/>
    <col width="22" customWidth="1" min="5" max="5"/>
    <col width="22" customWidth="1" min="7" max="7"/>
    <col width="22" customWidth="1" min="8" max="8"/>
  </cols>
  <sheetData>
    <row r="1">
      <c r="A1" s="7" t="inlineStr">
        <is>
          <t>Professional Inventory Management Dashboard</t>
        </is>
      </c>
    </row>
    <row r="3">
      <c r="A3" s="4" t="inlineStr">
        <is>
          <t>KPI</t>
        </is>
      </c>
      <c r="B3" s="4" t="inlineStr">
        <is>
          <t>Value</t>
        </is>
      </c>
      <c r="D3" s="4" t="inlineStr">
        <is>
          <t>Category</t>
        </is>
      </c>
      <c r="E3" s="4" t="inlineStr">
        <is>
          <t>Stock Value</t>
        </is>
      </c>
      <c r="G3" s="4" t="inlineStr">
        <is>
          <t>Stock Status</t>
        </is>
      </c>
      <c r="H3" s="4" t="inlineStr">
        <is>
          <t>Count</t>
        </is>
      </c>
    </row>
    <row r="4">
      <c r="A4" t="inlineStr">
        <is>
          <t>Total Products</t>
        </is>
      </c>
      <c r="B4">
        <f>COUNTA('Inventory Tracker'!A2:A25)</f>
        <v/>
      </c>
      <c r="D4" t="inlineStr">
        <is>
          <t>Electronics</t>
        </is>
      </c>
      <c r="E4" s="2">
        <f>SUMIF('Inventory Tracker'!C2:C25,D4,'Inventory Tracker'!H2:H25)</f>
        <v/>
      </c>
      <c r="G4" t="inlineStr">
        <is>
          <t>In Stock</t>
        </is>
      </c>
      <c r="H4">
        <f>COUNTIF('Inventory Tracker'!I2:I25,"In Stock")</f>
        <v/>
      </c>
    </row>
    <row r="5">
      <c r="A5" t="inlineStr">
        <is>
          <t>Total Stock Units</t>
        </is>
      </c>
      <c r="B5">
        <f>SUM('Inventory Tracker'!E2:E25)</f>
        <v/>
      </c>
      <c r="D5" t="inlineStr">
        <is>
          <t>Stationery</t>
        </is>
      </c>
      <c r="E5" s="2">
        <f>SUMIF('Inventory Tracker'!C2:C25,D5,'Inventory Tracker'!H2:H25)</f>
        <v/>
      </c>
      <c r="G5" t="inlineStr">
        <is>
          <t>Reorder</t>
        </is>
      </c>
      <c r="H5">
        <f>COUNTIF('Inventory Tracker'!I2:I25,"Reorder")</f>
        <v/>
      </c>
    </row>
    <row r="6">
      <c r="A6" t="inlineStr">
        <is>
          <t>Total Inventory Value</t>
        </is>
      </c>
      <c r="B6" s="2">
        <f>SUM('Inventory Tracker'!H2:H25)</f>
        <v/>
      </c>
      <c r="D6" t="inlineStr">
        <is>
          <t>Furniture</t>
        </is>
      </c>
      <c r="E6" s="2">
        <f>SUMIF('Inventory Tracker'!C2:C25,D6,'Inventory Tracker'!H2:H25)</f>
        <v/>
      </c>
    </row>
    <row r="7">
      <c r="A7" t="inlineStr">
        <is>
          <t>Items to Reorder</t>
        </is>
      </c>
      <c r="B7">
        <f>COUNTIF('Inventory Tracker'!I2:I25,"Reorder")</f>
        <v/>
      </c>
      <c r="D7" t="inlineStr">
        <is>
          <t>Office Supplies</t>
        </is>
      </c>
      <c r="E7" s="2">
        <f>SUMIF('Inventory Tracker'!C2:C25,D7,'Inventory Tracker'!H2:H25)</f>
        <v/>
      </c>
    </row>
    <row r="8">
      <c r="A8" t="inlineStr">
        <is>
          <t>Total Transaction Value</t>
        </is>
      </c>
      <c r="B8" s="2">
        <f>SUM('Purchase and Sales'!G2:G13)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4" customWidth="1" min="4" max="4"/>
    <col width="12" customWidth="1" min="5" max="5"/>
    <col width="15" customWidth="1" min="6" max="6"/>
    <col width="12" customWidth="1" min="7" max="7"/>
    <col width="13" customWidth="1" min="8" max="8"/>
    <col width="28" customWidth="1" min="9" max="9"/>
  </cols>
  <sheetData>
    <row r="1">
      <c r="A1" s="1" t="inlineStr">
        <is>
          <t>Item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Supplier</t>
        </is>
      </c>
      <c r="E1" s="1" t="inlineStr">
        <is>
          <t>Stock Qty</t>
        </is>
      </c>
      <c r="F1" s="1" t="inlineStr">
        <is>
          <t>Reorder Level</t>
        </is>
      </c>
      <c r="G1" s="1" t="inlineStr">
        <is>
          <t>Unit Cost</t>
        </is>
      </c>
      <c r="H1" s="1" t="inlineStr">
        <is>
          <t>Stock Value</t>
        </is>
      </c>
      <c r="I1" s="1" t="inlineStr">
        <is>
          <t>Stock Status</t>
        </is>
      </c>
    </row>
    <row r="2">
      <c r="A2" t="inlineStr">
        <is>
          <t>ITM001</t>
        </is>
      </c>
      <c r="B2" t="inlineStr">
        <is>
          <t>Wireless Mouse</t>
        </is>
      </c>
      <c r="C2" t="inlineStr">
        <is>
          <t>Electronics</t>
        </is>
      </c>
      <c r="D2" t="inlineStr">
        <is>
          <t>TechSource</t>
        </is>
      </c>
      <c r="E2" t="n">
        <v>35</v>
      </c>
      <c r="F2" t="n">
        <v>10</v>
      </c>
      <c r="G2" s="2" t="n">
        <v>799</v>
      </c>
      <c r="H2" s="2">
        <f>E2*G2</f>
        <v/>
      </c>
      <c r="I2">
        <f>IF(E2&lt;=F2,"Reorder","In Stock")</f>
        <v/>
      </c>
    </row>
    <row r="3">
      <c r="A3" t="inlineStr">
        <is>
          <t>ITM002</t>
        </is>
      </c>
      <c r="B3" t="inlineStr">
        <is>
          <t>Keyboard</t>
        </is>
      </c>
      <c r="C3" t="inlineStr">
        <is>
          <t>Electronics</t>
        </is>
      </c>
      <c r="D3" t="inlineStr">
        <is>
          <t>TechSource</t>
        </is>
      </c>
      <c r="E3" t="n">
        <v>8</v>
      </c>
      <c r="F3" t="n">
        <v>10</v>
      </c>
      <c r="G3" s="2" t="n">
        <v>1499</v>
      </c>
      <c r="H3" s="2">
        <f>E3*G3</f>
        <v/>
      </c>
      <c r="I3">
        <f>IF(E3&lt;=F3,"Reorder","In Stock")</f>
        <v/>
      </c>
    </row>
    <row r="4">
      <c r="A4" t="inlineStr">
        <is>
          <t>ITM003</t>
        </is>
      </c>
      <c r="B4" t="inlineStr">
        <is>
          <t>Notebook A4</t>
        </is>
      </c>
      <c r="C4" t="inlineStr">
        <is>
          <t>Stationery</t>
        </is>
      </c>
      <c r="D4" t="inlineStr">
        <is>
          <t>PaperWorld</t>
        </is>
      </c>
      <c r="E4" t="n">
        <v>120</v>
      </c>
      <c r="F4" t="n">
        <v>30</v>
      </c>
      <c r="G4" s="2" t="n">
        <v>120</v>
      </c>
      <c r="H4" s="2">
        <f>E4*G4</f>
        <v/>
      </c>
      <c r="I4">
        <f>IF(E4&lt;=F4,"Reorder","In Stock")</f>
        <v/>
      </c>
    </row>
    <row r="5">
      <c r="A5" t="inlineStr">
        <is>
          <t>ITM004</t>
        </is>
      </c>
      <c r="B5" t="inlineStr">
        <is>
          <t>Blue Pen Pack</t>
        </is>
      </c>
      <c r="C5" t="inlineStr">
        <is>
          <t>Stationery</t>
        </is>
      </c>
      <c r="D5" t="inlineStr">
        <is>
          <t>WriteWell</t>
        </is>
      </c>
      <c r="E5" t="n">
        <v>18</v>
      </c>
      <c r="F5" t="n">
        <v>25</v>
      </c>
      <c r="G5" s="2" t="n">
        <v>250</v>
      </c>
      <c r="H5" s="2">
        <f>E5*G5</f>
        <v/>
      </c>
      <c r="I5">
        <f>IF(E5&lt;=F5,"Reorder","In Stock")</f>
        <v/>
      </c>
    </row>
    <row r="6">
      <c r="A6" t="inlineStr">
        <is>
          <t>ITM005</t>
        </is>
      </c>
      <c r="B6" t="inlineStr">
        <is>
          <t>Office Chair</t>
        </is>
      </c>
      <c r="C6" t="inlineStr">
        <is>
          <t>Furniture</t>
        </is>
      </c>
      <c r="D6" t="inlineStr">
        <is>
          <t>ComfortWorks</t>
        </is>
      </c>
      <c r="E6" t="n">
        <v>12</v>
      </c>
      <c r="F6" t="n">
        <v>5</v>
      </c>
      <c r="G6" s="2" t="n">
        <v>6499</v>
      </c>
      <c r="H6" s="2">
        <f>E6*G6</f>
        <v/>
      </c>
      <c r="I6">
        <f>IF(E6&lt;=F6,"Reorder","In Stock")</f>
        <v/>
      </c>
    </row>
    <row r="7">
      <c r="A7" t="inlineStr">
        <is>
          <t>ITM006</t>
        </is>
      </c>
      <c r="B7" t="inlineStr">
        <is>
          <t>Laptop Stand</t>
        </is>
      </c>
      <c r="C7" t="inlineStr">
        <is>
          <t>Electronics</t>
        </is>
      </c>
      <c r="D7" t="inlineStr">
        <is>
          <t>DeskTech</t>
        </is>
      </c>
      <c r="E7" t="n">
        <v>6</v>
      </c>
      <c r="F7" t="n">
        <v>8</v>
      </c>
      <c r="G7" s="2" t="n">
        <v>1299</v>
      </c>
      <c r="H7" s="2">
        <f>E7*G7</f>
        <v/>
      </c>
      <c r="I7">
        <f>IF(E7&lt;=F7,"Reorder","In Stock")</f>
        <v/>
      </c>
    </row>
    <row r="8">
      <c r="A8" t="inlineStr">
        <is>
          <t>ITM007</t>
        </is>
      </c>
      <c r="B8" t="inlineStr">
        <is>
          <t>File Folder</t>
        </is>
      </c>
      <c r="C8" t="inlineStr">
        <is>
          <t>Stationery</t>
        </is>
      </c>
      <c r="D8" t="inlineStr">
        <is>
          <t>PaperWorld</t>
        </is>
      </c>
      <c r="E8" t="n">
        <v>75</v>
      </c>
      <c r="F8" t="n">
        <v>20</v>
      </c>
      <c r="G8" s="2" t="n">
        <v>80</v>
      </c>
      <c r="H8" s="2">
        <f>E8*G8</f>
        <v/>
      </c>
      <c r="I8">
        <f>IF(E8&lt;=F8,"Reorder","In Stock")</f>
        <v/>
      </c>
    </row>
    <row r="9">
      <c r="A9" t="inlineStr">
        <is>
          <t>ITM008</t>
        </is>
      </c>
      <c r="B9" t="inlineStr">
        <is>
          <t>Desk Lamp</t>
        </is>
      </c>
      <c r="C9" t="inlineStr">
        <is>
          <t>Furniture</t>
        </is>
      </c>
      <c r="D9" t="inlineStr">
        <is>
          <t>BrightHome</t>
        </is>
      </c>
      <c r="E9" t="n">
        <v>20</v>
      </c>
      <c r="F9" t="n">
        <v>7</v>
      </c>
      <c r="G9" s="2" t="n">
        <v>899</v>
      </c>
      <c r="H9" s="2">
        <f>E9*G9</f>
        <v/>
      </c>
      <c r="I9">
        <f>IF(E9&lt;=F9,"Reorder","In Stock")</f>
        <v/>
      </c>
    </row>
    <row r="10">
      <c r="A10" t="inlineStr">
        <is>
          <t>ITM009</t>
        </is>
      </c>
      <c r="B10" t="inlineStr">
        <is>
          <t>USB Drive 64GB</t>
        </is>
      </c>
      <c r="C10" t="inlineStr">
        <is>
          <t>Electronics</t>
        </is>
      </c>
      <c r="D10" t="inlineStr">
        <is>
          <t>TechSource</t>
        </is>
      </c>
      <c r="E10" t="n">
        <v>42</v>
      </c>
      <c r="F10" t="n">
        <v>15</v>
      </c>
      <c r="G10" s="2" t="n">
        <v>599</v>
      </c>
      <c r="H10" s="2">
        <f>E10*G10</f>
        <v/>
      </c>
      <c r="I10">
        <f>IF(E10&lt;=F10,"Reorder","In Stock")</f>
        <v/>
      </c>
    </row>
    <row r="11">
      <c r="A11" t="inlineStr">
        <is>
          <t>ITM010</t>
        </is>
      </c>
      <c r="B11" t="inlineStr">
        <is>
          <t>Study Table</t>
        </is>
      </c>
      <c r="C11" t="inlineStr">
        <is>
          <t>Furniture</t>
        </is>
      </c>
      <c r="D11" t="inlineStr">
        <is>
          <t>ComfortWorks</t>
        </is>
      </c>
      <c r="E11" t="n">
        <v>4</v>
      </c>
      <c r="F11" t="n">
        <v>5</v>
      </c>
      <c r="G11" s="2" t="n">
        <v>7499</v>
      </c>
      <c r="H11" s="2">
        <f>E11*G11</f>
        <v/>
      </c>
      <c r="I11">
        <f>IF(E11&lt;=F11,"Reorder","In Stock")</f>
        <v/>
      </c>
    </row>
    <row r="12">
      <c r="A12" t="inlineStr">
        <is>
          <t>ITM011</t>
        </is>
      </c>
      <c r="B12" t="inlineStr">
        <is>
          <t>Calculator</t>
        </is>
      </c>
      <c r="C12" t="inlineStr">
        <is>
          <t>Stationery</t>
        </is>
      </c>
      <c r="D12" t="inlineStr">
        <is>
          <t>WriteWell</t>
        </is>
      </c>
      <c r="E12" t="n">
        <v>28</v>
      </c>
      <c r="F12" t="n">
        <v>10</v>
      </c>
      <c r="G12" s="2" t="n">
        <v>650</v>
      </c>
      <c r="H12" s="2">
        <f>E12*G12</f>
        <v/>
      </c>
      <c r="I12">
        <f>IF(E12&lt;=F12,"Reorder","In Stock")</f>
        <v/>
      </c>
    </row>
    <row r="13">
      <c r="A13" t="inlineStr">
        <is>
          <t>ITM012</t>
        </is>
      </c>
      <c r="B13" t="inlineStr">
        <is>
          <t>Webcam</t>
        </is>
      </c>
      <c r="C13" t="inlineStr">
        <is>
          <t>Electronics</t>
        </is>
      </c>
      <c r="D13" t="inlineStr">
        <is>
          <t>DeskTech</t>
        </is>
      </c>
      <c r="E13" t="n">
        <v>9</v>
      </c>
      <c r="F13" t="n">
        <v>8</v>
      </c>
      <c r="G13" s="2" t="n">
        <v>2199</v>
      </c>
      <c r="H13" s="2">
        <f>E13*G13</f>
        <v/>
      </c>
      <c r="I13">
        <f>IF(E13&lt;=F13,"Reorder","In Stock")</f>
        <v/>
      </c>
    </row>
    <row r="14">
      <c r="A14" t="inlineStr">
        <is>
          <t>ITM013</t>
        </is>
      </c>
      <c r="B14" t="inlineStr">
        <is>
          <t>Monitor 24 inch</t>
        </is>
      </c>
      <c r="C14" t="inlineStr">
        <is>
          <t>Electronics</t>
        </is>
      </c>
      <c r="D14" t="inlineStr">
        <is>
          <t>VisionTech</t>
        </is>
      </c>
      <c r="E14" t="n">
        <v>14</v>
      </c>
      <c r="F14" t="n">
        <v>6</v>
      </c>
      <c r="G14" t="n">
        <v>11999</v>
      </c>
      <c r="H14">
        <f>E14*G14</f>
        <v/>
      </c>
      <c r="I14">
        <f>IF(E14&lt;=F14,"Reorder","In Stock")</f>
        <v/>
      </c>
    </row>
    <row r="15">
      <c r="A15" t="inlineStr">
        <is>
          <t>ITM014</t>
        </is>
      </c>
      <c r="B15" t="inlineStr">
        <is>
          <t>Printer Paper</t>
        </is>
      </c>
      <c r="C15" t="inlineStr">
        <is>
          <t>Stationery</t>
        </is>
      </c>
      <c r="D15" t="inlineStr">
        <is>
          <t>PaperWorld</t>
        </is>
      </c>
      <c r="E15" t="n">
        <v>90</v>
      </c>
      <c r="F15" t="n">
        <v>25</v>
      </c>
      <c r="G15" t="n">
        <v>350</v>
      </c>
      <c r="H15">
        <f>E15*G15</f>
        <v/>
      </c>
      <c r="I15">
        <f>IF(E15&lt;=F15,"Reorder","In Stock")</f>
        <v/>
      </c>
    </row>
    <row r="16">
      <c r="A16" t="inlineStr">
        <is>
          <t>ITM015</t>
        </is>
      </c>
      <c r="B16" t="inlineStr">
        <is>
          <t>Ergonomic Chair</t>
        </is>
      </c>
      <c r="C16" t="inlineStr">
        <is>
          <t>Furniture</t>
        </is>
      </c>
      <c r="D16" t="inlineStr">
        <is>
          <t>ComfortWorks</t>
        </is>
      </c>
      <c r="E16" t="n">
        <v>7</v>
      </c>
      <c r="F16" t="n">
        <v>5</v>
      </c>
      <c r="G16" t="n">
        <v>8999</v>
      </c>
      <c r="H16">
        <f>E16*G16</f>
        <v/>
      </c>
      <c r="I16">
        <f>IF(E16&lt;=F16,"Reorder","In Stock")</f>
        <v/>
      </c>
    </row>
    <row r="17">
      <c r="A17" t="inlineStr">
        <is>
          <t>ITM016</t>
        </is>
      </c>
      <c r="B17" t="inlineStr">
        <is>
          <t>External HDD 1TB</t>
        </is>
      </c>
      <c r="C17" t="inlineStr">
        <is>
          <t>Electronics</t>
        </is>
      </c>
      <c r="D17" t="inlineStr">
        <is>
          <t>TechSource</t>
        </is>
      </c>
      <c r="E17" t="n">
        <v>5</v>
      </c>
      <c r="F17" t="n">
        <v>8</v>
      </c>
      <c r="G17" t="n">
        <v>4599</v>
      </c>
      <c r="H17">
        <f>E17*G17</f>
        <v/>
      </c>
      <c r="I17">
        <f>IF(E17&lt;=F17,"Reorder","In Stock")</f>
        <v/>
      </c>
    </row>
    <row r="18">
      <c r="A18" t="inlineStr">
        <is>
          <t>ITM017</t>
        </is>
      </c>
      <c r="B18" t="inlineStr">
        <is>
          <t>Whiteboard</t>
        </is>
      </c>
      <c r="C18" t="inlineStr">
        <is>
          <t>Office Supplies</t>
        </is>
      </c>
      <c r="D18" t="inlineStr">
        <is>
          <t>OfficeMart</t>
        </is>
      </c>
      <c r="E18" t="n">
        <v>11</v>
      </c>
      <c r="F18" t="n">
        <v>5</v>
      </c>
      <c r="G18" t="n">
        <v>2199</v>
      </c>
      <c r="H18">
        <f>E18*G18</f>
        <v/>
      </c>
      <c r="I18">
        <f>IF(E18&lt;=F18,"Reorder","In Stock")</f>
        <v/>
      </c>
    </row>
    <row r="19">
      <c r="A19" t="inlineStr">
        <is>
          <t>ITM018</t>
        </is>
      </c>
      <c r="B19" t="inlineStr">
        <is>
          <t>Marker Pack</t>
        </is>
      </c>
      <c r="C19" t="inlineStr">
        <is>
          <t>Office Supplies</t>
        </is>
      </c>
      <c r="D19" t="inlineStr">
        <is>
          <t>WriteWell</t>
        </is>
      </c>
      <c r="E19" t="n">
        <v>16</v>
      </c>
      <c r="F19" t="n">
        <v>20</v>
      </c>
      <c r="G19" t="n">
        <v>299</v>
      </c>
      <c r="H19">
        <f>E19*G19</f>
        <v/>
      </c>
      <c r="I19">
        <f>IF(E19&lt;=F19,"Reorder","In Stock")</f>
        <v/>
      </c>
    </row>
    <row r="20">
      <c r="A20" t="inlineStr">
        <is>
          <t>ITM019</t>
        </is>
      </c>
      <c r="B20" t="inlineStr">
        <is>
          <t>Desk Organizer</t>
        </is>
      </c>
      <c r="C20" t="inlineStr">
        <is>
          <t>Office Supplies</t>
        </is>
      </c>
      <c r="D20" t="inlineStr">
        <is>
          <t>OfficeMart</t>
        </is>
      </c>
      <c r="E20" t="n">
        <v>30</v>
      </c>
      <c r="F20" t="n">
        <v>10</v>
      </c>
      <c r="G20" t="n">
        <v>499</v>
      </c>
      <c r="H20">
        <f>E20*G20</f>
        <v/>
      </c>
      <c r="I20">
        <f>IF(E20&lt;=F20,"Reorder","In Stock")</f>
        <v/>
      </c>
    </row>
    <row r="21">
      <c r="A21" t="inlineStr">
        <is>
          <t>ITM020</t>
        </is>
      </c>
      <c r="B21" t="inlineStr">
        <is>
          <t>Headset</t>
        </is>
      </c>
      <c r="C21" t="inlineStr">
        <is>
          <t>Electronics</t>
        </is>
      </c>
      <c r="D21" t="inlineStr">
        <is>
          <t>DeskTech</t>
        </is>
      </c>
      <c r="E21" t="n">
        <v>22</v>
      </c>
      <c r="F21" t="n">
        <v>10</v>
      </c>
      <c r="G21" t="n">
        <v>1899</v>
      </c>
      <c r="H21">
        <f>E21*G21</f>
        <v/>
      </c>
      <c r="I21">
        <f>IF(E21&lt;=F21,"Reorder","In Stock")</f>
        <v/>
      </c>
    </row>
    <row r="22">
      <c r="A22" t="inlineStr">
        <is>
          <t>ITM021</t>
        </is>
      </c>
      <c r="B22" t="inlineStr">
        <is>
          <t>Stapler</t>
        </is>
      </c>
      <c r="C22" t="inlineStr">
        <is>
          <t>Stationery</t>
        </is>
      </c>
      <c r="D22" t="inlineStr">
        <is>
          <t>WriteWell</t>
        </is>
      </c>
      <c r="E22" t="n">
        <v>40</v>
      </c>
      <c r="F22" t="n">
        <v>15</v>
      </c>
      <c r="G22" t="n">
        <v>180</v>
      </c>
      <c r="H22">
        <f>E22*G22</f>
        <v/>
      </c>
      <c r="I22">
        <f>IF(E22&lt;=F22,"Reorder","In Stock")</f>
        <v/>
      </c>
    </row>
    <row r="23">
      <c r="A23" t="inlineStr">
        <is>
          <t>ITM022</t>
        </is>
      </c>
      <c r="B23" t="inlineStr">
        <is>
          <t>Bookshelf</t>
        </is>
      </c>
      <c r="C23" t="inlineStr">
        <is>
          <t>Furniture</t>
        </is>
      </c>
      <c r="D23" t="inlineStr">
        <is>
          <t>ComfortWorks</t>
        </is>
      </c>
      <c r="E23" t="n">
        <v>3</v>
      </c>
      <c r="F23" t="n">
        <v>5</v>
      </c>
      <c r="G23" t="n">
        <v>5499</v>
      </c>
      <c r="H23">
        <f>E23*G23</f>
        <v/>
      </c>
      <c r="I23">
        <f>IF(E23&lt;=F23,"Reorder","In Stock")</f>
        <v/>
      </c>
    </row>
    <row r="24">
      <c r="A24" t="inlineStr">
        <is>
          <t>ITM023</t>
        </is>
      </c>
      <c r="B24" t="inlineStr">
        <is>
          <t>HDMI Cable</t>
        </is>
      </c>
      <c r="C24" t="inlineStr">
        <is>
          <t>Electronics</t>
        </is>
      </c>
      <c r="D24" t="inlineStr">
        <is>
          <t>TechSource</t>
        </is>
      </c>
      <c r="E24" t="n">
        <v>55</v>
      </c>
      <c r="F24" t="n">
        <v>20</v>
      </c>
      <c r="G24" t="n">
        <v>399</v>
      </c>
      <c r="H24">
        <f>E24*G24</f>
        <v/>
      </c>
      <c r="I24">
        <f>IF(E24&lt;=F24,"Reorder","In Stock")</f>
        <v/>
      </c>
    </row>
    <row r="25">
      <c r="A25" t="inlineStr">
        <is>
          <t>ITM024</t>
        </is>
      </c>
      <c r="B25" t="inlineStr">
        <is>
          <t>Sticky Notes</t>
        </is>
      </c>
      <c r="C25" t="inlineStr">
        <is>
          <t>Stationery</t>
        </is>
      </c>
      <c r="D25" t="inlineStr">
        <is>
          <t>PaperWorld</t>
        </is>
      </c>
      <c r="E25" t="n">
        <v>65</v>
      </c>
      <c r="F25" t="n">
        <v>25</v>
      </c>
      <c r="G25" t="n">
        <v>90</v>
      </c>
      <c r="H25">
        <f>E25*G25</f>
        <v/>
      </c>
      <c r="I25">
        <f>IF(E25&lt;=F25,"Reorder","In Stock")</f>
        <v/>
      </c>
    </row>
  </sheetData>
  <autoFilter ref="A1:I25"/>
  <conditionalFormatting sqref="E2:E25">
    <cfRule type="cellIs" priority="1" operator="lessThanOrEqual" dxfId="0">
      <formula>F2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5" t="inlineStr">
        <is>
          <t>Project Title</t>
        </is>
      </c>
      <c r="B1" s="6" t="inlineStr">
        <is>
          <t>Professional Excel Inventory Management &amp; Stock Tracking Portfolio</t>
        </is>
      </c>
    </row>
    <row r="2">
      <c r="A2" s="5" t="inlineStr">
        <is>
          <t>Overview</t>
        </is>
      </c>
      <c r="B2" s="6" t="inlineStr">
        <is>
          <t>A multi-sheet Excel portfolio project for managing inventory, suppliers, purchases, sales, stock value, and reorder status.</t>
        </is>
      </c>
    </row>
    <row r="3">
      <c r="A3" s="5" t="inlineStr">
        <is>
          <t>Sheets Included</t>
        </is>
      </c>
      <c r="B3" s="6" t="inlineStr">
        <is>
          <t>Dashboard; Inventory Tracker; Purchase and Sales; Suppliers; Project Guide.</t>
        </is>
      </c>
    </row>
    <row r="4">
      <c r="A4" s="5" t="inlineStr">
        <is>
          <t>Excel Skills</t>
        </is>
      </c>
      <c r="B4" s="6" t="inlineStr">
        <is>
          <t>Data entry, cleaning, formatting, formulas, IF, COUNTIF, SUMIF, filtering, conditional formatting, dashboards, and charts.</t>
        </is>
      </c>
    </row>
    <row r="5">
      <c r="A5" s="5" t="inlineStr">
        <is>
          <t>Portfolio Description</t>
        </is>
      </c>
      <c r="B5" s="6" t="inlineStr">
        <is>
          <t>Built a professional Excel inventory management workbook with 24 products, supplier records, purchase and sales transactions, automated stock-value calculations, low-stock alerts, KPI reporting, and visual dashboards.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Product Name</t>
        </is>
      </c>
      <c r="D1" s="1" t="inlineStr">
        <is>
          <t>Type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Total Amount</t>
        </is>
      </c>
      <c r="H1" s="1" t="inlineStr">
        <is>
          <t>Payment Status</t>
        </is>
      </c>
    </row>
    <row r="2">
      <c r="A2" t="inlineStr">
        <is>
          <t>TXN001</t>
        </is>
      </c>
      <c r="B2" s="8" t="n">
        <v>46174</v>
      </c>
      <c r="C2" t="inlineStr">
        <is>
          <t>Wireless Mouse</t>
        </is>
      </c>
      <c r="D2" t="inlineStr">
        <is>
          <t>Purchase</t>
        </is>
      </c>
      <c r="E2" t="n">
        <v>20</v>
      </c>
      <c r="F2" s="2" t="n">
        <v>650</v>
      </c>
      <c r="G2" s="2">
        <f>E2*F2</f>
        <v/>
      </c>
      <c r="H2" t="inlineStr">
        <is>
          <t>Paid</t>
        </is>
      </c>
    </row>
    <row r="3">
      <c r="A3" t="inlineStr">
        <is>
          <t>TXN002</t>
        </is>
      </c>
      <c r="B3" s="8" t="n">
        <v>46176</v>
      </c>
      <c r="C3" t="inlineStr">
        <is>
          <t>Keyboard</t>
        </is>
      </c>
      <c r="D3" t="inlineStr">
        <is>
          <t>Sale</t>
        </is>
      </c>
      <c r="E3" t="n">
        <v>5</v>
      </c>
      <c r="F3" s="2" t="n">
        <v>1499</v>
      </c>
      <c r="G3" s="2">
        <f>E3*F3</f>
        <v/>
      </c>
      <c r="H3" t="inlineStr">
        <is>
          <t>Paid</t>
        </is>
      </c>
    </row>
    <row r="4">
      <c r="A4" t="inlineStr">
        <is>
          <t>TXN003</t>
        </is>
      </c>
      <c r="B4" s="8" t="n">
        <v>46178</v>
      </c>
      <c r="C4" t="inlineStr">
        <is>
          <t>Notebook A4</t>
        </is>
      </c>
      <c r="D4" t="inlineStr">
        <is>
          <t>Purchase</t>
        </is>
      </c>
      <c r="E4" t="n">
        <v>100</v>
      </c>
      <c r="F4" s="2" t="n">
        <v>90</v>
      </c>
      <c r="G4" s="2">
        <f>E4*F4</f>
        <v/>
      </c>
      <c r="H4" t="inlineStr">
        <is>
          <t>Paid</t>
        </is>
      </c>
    </row>
    <row r="5">
      <c r="A5" t="inlineStr">
        <is>
          <t>TXN004</t>
        </is>
      </c>
      <c r="B5" s="8" t="n">
        <v>46181</v>
      </c>
      <c r="C5" t="inlineStr">
        <is>
          <t>Office Chair</t>
        </is>
      </c>
      <c r="D5" t="inlineStr">
        <is>
          <t>Sale</t>
        </is>
      </c>
      <c r="E5" t="n">
        <v>3</v>
      </c>
      <c r="F5" s="2" t="n">
        <v>6499</v>
      </c>
      <c r="G5" s="2">
        <f>E5*F5</f>
        <v/>
      </c>
      <c r="H5" t="inlineStr">
        <is>
          <t>Paid</t>
        </is>
      </c>
    </row>
    <row r="6">
      <c r="A6" t="inlineStr">
        <is>
          <t>TXN005</t>
        </is>
      </c>
      <c r="B6" s="8" t="n">
        <v>46183</v>
      </c>
      <c r="C6" t="inlineStr">
        <is>
          <t>Laptop Stand</t>
        </is>
      </c>
      <c r="D6" t="inlineStr">
        <is>
          <t>Sale</t>
        </is>
      </c>
      <c r="E6" t="n">
        <v>4</v>
      </c>
      <c r="F6" s="2" t="n">
        <v>1299</v>
      </c>
      <c r="G6" s="2">
        <f>E6*F6</f>
        <v/>
      </c>
      <c r="H6" t="inlineStr">
        <is>
          <t>Pending</t>
        </is>
      </c>
    </row>
    <row r="7">
      <c r="A7" t="inlineStr">
        <is>
          <t>TXN006</t>
        </is>
      </c>
      <c r="B7" s="8" t="n">
        <v>46185</v>
      </c>
      <c r="C7" t="inlineStr">
        <is>
          <t>USB Drive 64GB</t>
        </is>
      </c>
      <c r="D7" t="inlineStr">
        <is>
          <t>Purchase</t>
        </is>
      </c>
      <c r="E7" t="n">
        <v>30</v>
      </c>
      <c r="F7" s="2" t="n">
        <v>450</v>
      </c>
      <c r="G7" s="2">
        <f>E7*F7</f>
        <v/>
      </c>
      <c r="H7" t="inlineStr">
        <is>
          <t>Paid</t>
        </is>
      </c>
    </row>
    <row r="8">
      <c r="A8" t="inlineStr">
        <is>
          <t>TXN007</t>
        </is>
      </c>
      <c r="B8" s="8" t="n">
        <v>46188</v>
      </c>
      <c r="C8" t="inlineStr">
        <is>
          <t>Study Table</t>
        </is>
      </c>
      <c r="D8" t="inlineStr">
        <is>
          <t>Sale</t>
        </is>
      </c>
      <c r="E8" t="n">
        <v>2</v>
      </c>
      <c r="F8" s="2" t="n">
        <v>7499</v>
      </c>
      <c r="G8" s="2">
        <f>E8*F8</f>
        <v/>
      </c>
      <c r="H8" t="inlineStr">
        <is>
          <t>Paid</t>
        </is>
      </c>
    </row>
    <row r="9">
      <c r="A9" t="inlineStr">
        <is>
          <t>TXN008</t>
        </is>
      </c>
      <c r="B9" s="8" t="n">
        <v>46191</v>
      </c>
      <c r="C9" t="inlineStr">
        <is>
          <t>Webcam</t>
        </is>
      </c>
      <c r="D9" t="inlineStr">
        <is>
          <t>Sale</t>
        </is>
      </c>
      <c r="E9" t="n">
        <v>3</v>
      </c>
      <c r="F9" s="2" t="n">
        <v>2199</v>
      </c>
      <c r="G9" s="2">
        <f>E9*F9</f>
        <v/>
      </c>
      <c r="H9" t="inlineStr">
        <is>
          <t>Paid</t>
        </is>
      </c>
    </row>
    <row r="10">
      <c r="A10" t="inlineStr">
        <is>
          <t>TXN009</t>
        </is>
      </c>
      <c r="B10" s="8" t="n">
        <v>46193</v>
      </c>
      <c r="C10" t="inlineStr">
        <is>
          <t>Monitor 24 inch</t>
        </is>
      </c>
      <c r="D10" t="inlineStr">
        <is>
          <t>Purchase</t>
        </is>
      </c>
      <c r="E10" t="n">
        <v>10</v>
      </c>
      <c r="F10" s="2" t="n">
        <v>9500</v>
      </c>
      <c r="G10" s="2">
        <f>E10*F10</f>
        <v/>
      </c>
      <c r="H10" t="inlineStr">
        <is>
          <t>Paid</t>
        </is>
      </c>
    </row>
    <row r="11">
      <c r="A11" t="inlineStr">
        <is>
          <t>TXN010</t>
        </is>
      </c>
      <c r="B11" s="8" t="n">
        <v>46195</v>
      </c>
      <c r="C11" t="inlineStr">
        <is>
          <t>Headset</t>
        </is>
      </c>
      <c r="D11" t="inlineStr">
        <is>
          <t>Sale</t>
        </is>
      </c>
      <c r="E11" t="n">
        <v>6</v>
      </c>
      <c r="F11" s="2" t="n">
        <v>1899</v>
      </c>
      <c r="G11" s="2">
        <f>E11*F11</f>
        <v/>
      </c>
      <c r="H11" t="inlineStr">
        <is>
          <t>Pending</t>
        </is>
      </c>
    </row>
    <row r="12">
      <c r="A12" t="inlineStr">
        <is>
          <t>TXN011</t>
        </is>
      </c>
      <c r="B12" s="8" t="n">
        <v>46198</v>
      </c>
      <c r="C12" t="inlineStr">
        <is>
          <t>HDMI Cable</t>
        </is>
      </c>
      <c r="D12" t="inlineStr">
        <is>
          <t>Sale</t>
        </is>
      </c>
      <c r="E12" t="n">
        <v>12</v>
      </c>
      <c r="F12" s="2" t="n">
        <v>399</v>
      </c>
      <c r="G12" s="2">
        <f>E12*F12</f>
        <v/>
      </c>
      <c r="H12" t="inlineStr">
        <is>
          <t>Paid</t>
        </is>
      </c>
    </row>
    <row r="13">
      <c r="A13" t="inlineStr">
        <is>
          <t>TXN012</t>
        </is>
      </c>
      <c r="B13" s="8" t="n">
        <v>46201</v>
      </c>
      <c r="C13" t="inlineStr">
        <is>
          <t>Sticky Notes</t>
        </is>
      </c>
      <c r="D13" t="inlineStr">
        <is>
          <t>Purchase</t>
        </is>
      </c>
      <c r="E13" t="n">
        <v>50</v>
      </c>
      <c r="F13" s="2" t="n">
        <v>65</v>
      </c>
      <c r="G13" s="2">
        <f>E13*F13</f>
        <v/>
      </c>
      <c r="H13" t="inlineStr">
        <is>
          <t>Paid</t>
        </is>
      </c>
    </row>
  </sheetData>
  <autoFilter ref="A1:H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2" customWidth="1" min="4" max="4"/>
    <col width="28" customWidth="1" min="5" max="5"/>
    <col width="12" customWidth="1" min="6" max="6"/>
  </cols>
  <sheetData>
    <row r="1">
      <c r="A1" s="1" t="inlineStr">
        <is>
          <t>Supplier ID</t>
        </is>
      </c>
      <c r="B1" s="1" t="inlineStr">
        <is>
          <t>Supplier Name</t>
        </is>
      </c>
      <c r="C1" s="1" t="inlineStr">
        <is>
          <t>Category Supplied</t>
        </is>
      </c>
      <c r="D1" s="1" t="inlineStr">
        <is>
          <t>City</t>
        </is>
      </c>
      <c r="E1" s="1" t="inlineStr">
        <is>
          <t>Contact Email</t>
        </is>
      </c>
      <c r="F1" s="1" t="inlineStr">
        <is>
          <t>Rating</t>
        </is>
      </c>
    </row>
    <row r="2">
      <c r="A2" t="inlineStr">
        <is>
          <t>SUP001</t>
        </is>
      </c>
      <c r="B2" t="inlineStr">
        <is>
          <t>TechSource</t>
        </is>
      </c>
      <c r="C2" t="inlineStr">
        <is>
          <t>Electronics</t>
        </is>
      </c>
      <c r="D2" t="inlineStr">
        <is>
          <t>Bengaluru</t>
        </is>
      </c>
      <c r="E2" t="inlineStr">
        <is>
          <t>sales@techsource.example</t>
        </is>
      </c>
      <c r="F2" t="n">
        <v>4.7</v>
      </c>
    </row>
    <row r="3">
      <c r="A3" t="inlineStr">
        <is>
          <t>SUP002</t>
        </is>
      </c>
      <c r="B3" t="inlineStr">
        <is>
          <t>PaperWorld</t>
        </is>
      </c>
      <c r="C3" t="inlineStr">
        <is>
          <t>Stationery</t>
        </is>
      </c>
      <c r="D3" t="inlineStr">
        <is>
          <t>Mumbai</t>
        </is>
      </c>
      <c r="E3" t="inlineStr">
        <is>
          <t>orders@paperworld.example</t>
        </is>
      </c>
      <c r="F3" t="n">
        <v>4.5</v>
      </c>
    </row>
    <row r="4">
      <c r="A4" t="inlineStr">
        <is>
          <t>SUP003</t>
        </is>
      </c>
      <c r="B4" t="inlineStr">
        <is>
          <t>WriteWell</t>
        </is>
      </c>
      <c r="C4" t="inlineStr">
        <is>
          <t>Stationery</t>
        </is>
      </c>
      <c r="D4" t="inlineStr">
        <is>
          <t>Delhi</t>
        </is>
      </c>
      <c r="E4" t="inlineStr">
        <is>
          <t>support@writewell.example</t>
        </is>
      </c>
      <c r="F4" t="n">
        <v>4.3</v>
      </c>
    </row>
    <row r="5">
      <c r="A5" t="inlineStr">
        <is>
          <t>SUP004</t>
        </is>
      </c>
      <c r="B5" t="inlineStr">
        <is>
          <t>ComfortWorks</t>
        </is>
      </c>
      <c r="C5" t="inlineStr">
        <is>
          <t>Furniture</t>
        </is>
      </c>
      <c r="D5" t="inlineStr">
        <is>
          <t>Chennai</t>
        </is>
      </c>
      <c r="E5" t="inlineStr">
        <is>
          <t>sales@comfortworks.example</t>
        </is>
      </c>
      <c r="F5" t="n">
        <v>4.8</v>
      </c>
    </row>
    <row r="6">
      <c r="A6" t="inlineStr">
        <is>
          <t>SUP005</t>
        </is>
      </c>
      <c r="B6" t="inlineStr">
        <is>
          <t>DeskTech</t>
        </is>
      </c>
      <c r="C6" t="inlineStr">
        <is>
          <t>Electronics</t>
        </is>
      </c>
      <c r="D6" t="inlineStr">
        <is>
          <t>Hyderabad</t>
        </is>
      </c>
      <c r="E6" t="inlineStr">
        <is>
          <t>orders@desktech.example</t>
        </is>
      </c>
      <c r="F6" t="n">
        <v>4.6</v>
      </c>
    </row>
    <row r="7">
      <c r="A7" t="inlineStr">
        <is>
          <t>SUP006</t>
        </is>
      </c>
      <c r="B7" t="inlineStr">
        <is>
          <t>BrightHome</t>
        </is>
      </c>
      <c r="C7" t="inlineStr">
        <is>
          <t>Furniture</t>
        </is>
      </c>
      <c r="D7" t="inlineStr">
        <is>
          <t>Pune</t>
        </is>
      </c>
      <c r="E7" t="inlineStr">
        <is>
          <t>sales@brighthome.example</t>
        </is>
      </c>
      <c r="F7" t="n">
        <v>4.2</v>
      </c>
    </row>
    <row r="8">
      <c r="A8" t="inlineStr">
        <is>
          <t>SUP007</t>
        </is>
      </c>
      <c r="B8" t="inlineStr">
        <is>
          <t>OfficeMart</t>
        </is>
      </c>
      <c r="C8" t="inlineStr">
        <is>
          <t>Office Supplies</t>
        </is>
      </c>
      <c r="D8" t="inlineStr">
        <is>
          <t>Bengaluru</t>
        </is>
      </c>
      <c r="E8" t="inlineStr">
        <is>
          <t>orders@officemart.example</t>
        </is>
      </c>
      <c r="F8" t="n">
        <v>4.4</v>
      </c>
    </row>
    <row r="9">
      <c r="A9" t="inlineStr">
        <is>
          <t>SUP008</t>
        </is>
      </c>
      <c r="B9" t="inlineStr">
        <is>
          <t>VisionTech</t>
        </is>
      </c>
      <c r="C9" t="inlineStr">
        <is>
          <t>Electronics</t>
        </is>
      </c>
      <c r="D9" t="inlineStr">
        <is>
          <t>Delhi</t>
        </is>
      </c>
      <c r="E9" t="inlineStr">
        <is>
          <t>sales@visiontech.example</t>
        </is>
      </c>
      <c r="F9" t="n">
        <v>4.6</v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2026-07-06T23:39:47Z</dcterms:created>
  <dcterms:modified xmlns:dcterms="http://purl.org/dc/terms/" xmlns:xsi="http://www.w3.org/2001/XMLSchema-instance" xsi:type="dcterms:W3CDTF">2026-07-06T23:41:45Z</dcterms:modified>
</cp:coreProperties>
</file>